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jeto Tech Saúde\Downloads\"/>
    </mc:Choice>
  </mc:AlternateContent>
  <xr:revisionPtr revIDLastSave="0" documentId="13_ncr:1_{F863A473-0C15-49E6-8DD2-3F1874D70B91}" xr6:coauthVersionLast="47" xr6:coauthVersionMax="47" xr10:uidLastSave="{00000000-0000-0000-0000-000000000000}"/>
  <bookViews>
    <workbookView xWindow="-110" yWindow="-110" windowWidth="19420" windowHeight="11500" xr2:uid="{2159F909-F51C-4FE5-AE2A-38ACBFCDF7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G6" i="1"/>
  <c r="F21" i="1"/>
  <c r="F20" i="1"/>
  <c r="F14" i="1"/>
  <c r="F13" i="1"/>
  <c r="G2" i="1"/>
  <c r="G4" i="1"/>
  <c r="G7" i="1" l="1"/>
  <c r="G9" i="1"/>
</calcChain>
</file>

<file path=xl/sharedStrings.xml><?xml version="1.0" encoding="utf-8"?>
<sst xmlns="http://schemas.openxmlformats.org/spreadsheetml/2006/main" count="59" uniqueCount="37">
  <si>
    <t>TEC-1089 Datasheet 5133Z</t>
  </si>
  <si>
    <t>PDF</t>
  </si>
  <si>
    <t>Pages</t>
  </si>
  <si>
    <t>TEC-1090 Datasheet 5165T</t>
  </si>
  <si>
    <t>TEC-1091 Datasheet 5175U</t>
  </si>
  <si>
    <t>Valid p.</t>
  </si>
  <si>
    <t>TEC-1092 Datasheet 5208J</t>
  </si>
  <si>
    <t>TEC-1122 Datasheet 5132Z</t>
  </si>
  <si>
    <t>TEC-1123 Datasheet 5144Z</t>
  </si>
  <si>
    <t>TEC-1161 Datasheet 5231G</t>
  </si>
  <si>
    <t>TEC-1162 Datasheet 5284C</t>
  </si>
  <si>
    <t>TEC-1166 Datasheet 5286C</t>
  </si>
  <si>
    <t>TEC-1167 Datasheet 5287C</t>
  </si>
  <si>
    <t>TEC</t>
  </si>
  <si>
    <t>CHF/p.</t>
  </si>
  <si>
    <t>Laser Diode</t>
  </si>
  <si>
    <t>TEA-1145 Datasheet 5295C</t>
  </si>
  <si>
    <t>Acessories</t>
  </si>
  <si>
    <t>Order &amp; Config</t>
  </si>
  <si>
    <t>1 Matching</t>
  </si>
  <si>
    <t>LDD-1121 Datasheet 5142M</t>
  </si>
  <si>
    <t>LDD-1124 Datasheet 5169K</t>
  </si>
  <si>
    <t>LDD-1125 Datasheet 5146K</t>
  </si>
  <si>
    <t>LDD-1137 Data Sheet 5243G</t>
  </si>
  <si>
    <t>LDD-1301 Datasheet 5245J</t>
  </si>
  <si>
    <t>LDD-1303 Datasheet 5246I</t>
  </si>
  <si>
    <t>LDD-1321 Datasheet 5291C</t>
  </si>
  <si>
    <t>Categoria</t>
  </si>
  <si>
    <t>Estimate (CHF)</t>
  </si>
  <si>
    <t>Estimate (BRL)</t>
  </si>
  <si>
    <t>DPY-1113 Datasheet 5181D</t>
  </si>
  <si>
    <t>DPY-1114 Datasheet 5227B</t>
  </si>
  <si>
    <t>DPY-1115 Datasheet 5228B</t>
  </si>
  <si>
    <t>EVL-1093 Datasheet 5209F</t>
  </si>
  <si>
    <t>TCI-1181 Datasheet 5232C</t>
  </si>
  <si>
    <t>TEA</t>
  </si>
  <si>
    <t>Divided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</si>
</sst>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$-416]\ * #,##0.00_-;\-[$R$-416]\ * #,##0.00_-;_-[$R$-416]\ * &quot;-&quot;??_-;_-@_-"/>
    <numFmt numFmtId="165" formatCode="_-* #,##0.00\ [$CHF-100C]_-;\-* #,##0.00\ [$CHF-100C]_-;_-* &quot;-&quot;??\ [$CHF-100C]_-;_-@_-"/>
    <numFmt numFmtId="166" formatCode="_-* #,##0.000\ [$CHF-100C]_-;\-* #,##0.000\ [$CHF-100C]_-;_-* &quot;-&quot;??\ [$CHF-100C]_-;_-@_-"/>
    <numFmt numFmtId="168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3" xfId="0" applyBorder="1"/>
    <xf numFmtId="0" fontId="0" fillId="0" borderId="5" xfId="0" applyBorder="1"/>
    <xf numFmtId="164" fontId="0" fillId="0" borderId="7" xfId="0" applyNumberFormat="1" applyBorder="1"/>
    <xf numFmtId="0" fontId="0" fillId="2" borderId="2" xfId="0" applyFill="1" applyBorder="1"/>
    <xf numFmtId="0" fontId="0" fillId="2" borderId="4" xfId="0" applyFill="1" applyBorder="1"/>
    <xf numFmtId="0" fontId="1" fillId="2" borderId="4" xfId="0" applyFont="1" applyFill="1" applyBorder="1"/>
    <xf numFmtId="0" fontId="1" fillId="2" borderId="6" xfId="0" applyFont="1" applyFill="1" applyBorder="1"/>
    <xf numFmtId="165" fontId="0" fillId="0" borderId="5" xfId="0" applyNumberFormat="1" applyBorder="1"/>
    <xf numFmtId="164" fontId="0" fillId="0" borderId="0" xfId="0" applyNumberFormat="1" applyBorder="1"/>
    <xf numFmtId="165" fontId="0" fillId="0" borderId="0" xfId="0" applyNumberFormat="1"/>
    <xf numFmtId="166" fontId="0" fillId="0" borderId="0" xfId="0" applyNumberFormat="1"/>
    <xf numFmtId="168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1E0A-F883-4CDC-93EE-C8019009B57C}">
  <dimension ref="A1:M25"/>
  <sheetViews>
    <sheetView showGridLines="0" tabSelected="1" workbookViewId="0">
      <selection activeCell="G19" sqref="G19"/>
    </sheetView>
  </sheetViews>
  <sheetFormatPr defaultRowHeight="14.5" x14ac:dyDescent="0.35"/>
  <cols>
    <col min="1" max="1" width="24" bestFit="1" customWidth="1"/>
    <col min="2" max="2" width="8" style="4" customWidth="1"/>
    <col min="3" max="3" width="12" style="4" customWidth="1"/>
    <col min="4" max="4" width="23.453125" bestFit="1" customWidth="1"/>
    <col min="5" max="5" width="6.81640625" customWidth="1"/>
    <col min="6" max="6" width="14.81640625" bestFit="1" customWidth="1"/>
    <col min="7" max="7" width="13.81640625" bestFit="1" customWidth="1"/>
    <col min="8" max="8" width="11.54296875" bestFit="1" customWidth="1"/>
    <col min="11" max="11" width="9.54296875" bestFit="1" customWidth="1"/>
    <col min="13" max="13" width="9.54296875" bestFit="1" customWidth="1"/>
  </cols>
  <sheetData>
    <row r="1" spans="1:13" x14ac:dyDescent="0.35">
      <c r="A1" s="2" t="s">
        <v>1</v>
      </c>
      <c r="B1" s="5" t="s">
        <v>2</v>
      </c>
      <c r="C1" s="3" t="s">
        <v>5</v>
      </c>
      <c r="D1" s="2" t="s">
        <v>27</v>
      </c>
    </row>
    <row r="2" spans="1:13" x14ac:dyDescent="0.35">
      <c r="A2" t="s">
        <v>0</v>
      </c>
      <c r="B2" s="6">
        <v>8</v>
      </c>
      <c r="C2" s="4">
        <v>8</v>
      </c>
      <c r="D2" t="s">
        <v>13</v>
      </c>
      <c r="F2" s="11" t="s">
        <v>2</v>
      </c>
      <c r="G2" s="8">
        <f>SUM(C2:C25)</f>
        <v>191</v>
      </c>
    </row>
    <row r="3" spans="1:13" x14ac:dyDescent="0.35">
      <c r="A3" t="s">
        <v>3</v>
      </c>
      <c r="B3" s="6">
        <v>8</v>
      </c>
      <c r="C3" s="4">
        <v>8</v>
      </c>
      <c r="D3" t="s">
        <v>13</v>
      </c>
      <c r="F3" s="12" t="s">
        <v>14</v>
      </c>
      <c r="G3" s="15">
        <v>1.85</v>
      </c>
    </row>
    <row r="4" spans="1:13" x14ac:dyDescent="0.35">
      <c r="A4" t="s">
        <v>4</v>
      </c>
      <c r="B4" s="6">
        <v>8</v>
      </c>
      <c r="C4" s="4">
        <v>8</v>
      </c>
      <c r="D4" t="s">
        <v>13</v>
      </c>
      <c r="F4" s="12" t="s">
        <v>18</v>
      </c>
      <c r="G4" s="9">
        <f>22</f>
        <v>22</v>
      </c>
    </row>
    <row r="5" spans="1:13" x14ac:dyDescent="0.35">
      <c r="A5" t="s">
        <v>6</v>
      </c>
      <c r="B5" s="6">
        <v>9</v>
      </c>
      <c r="C5" s="4">
        <v>7</v>
      </c>
      <c r="D5" t="s">
        <v>13</v>
      </c>
      <c r="F5" s="12" t="s">
        <v>19</v>
      </c>
      <c r="G5" s="9">
        <v>0</v>
      </c>
    </row>
    <row r="6" spans="1:13" x14ac:dyDescent="0.35">
      <c r="A6" t="s">
        <v>7</v>
      </c>
      <c r="B6" s="6">
        <v>8</v>
      </c>
      <c r="C6" s="4">
        <v>8</v>
      </c>
      <c r="D6" t="s">
        <v>13</v>
      </c>
      <c r="F6" s="13" t="s">
        <v>28</v>
      </c>
      <c r="G6" s="15">
        <f>(G2*G3+G4*G3)*1.0077+3.55</f>
        <v>400.63418500000006</v>
      </c>
      <c r="H6" s="17"/>
    </row>
    <row r="7" spans="1:13" x14ac:dyDescent="0.35">
      <c r="A7" t="s">
        <v>8</v>
      </c>
      <c r="B7" s="6">
        <v>8</v>
      </c>
      <c r="C7" s="4">
        <v>8</v>
      </c>
      <c r="D7" t="s">
        <v>13</v>
      </c>
      <c r="F7" s="14" t="s">
        <v>29</v>
      </c>
      <c r="G7" s="10">
        <f>G6*6.4</f>
        <v>2564.0587840000007</v>
      </c>
      <c r="K7" s="19"/>
    </row>
    <row r="8" spans="1:13" x14ac:dyDescent="0.35">
      <c r="A8" t="s">
        <v>9</v>
      </c>
      <c r="B8" s="6">
        <v>12</v>
      </c>
      <c r="C8" s="4">
        <v>10</v>
      </c>
      <c r="D8" t="s">
        <v>13</v>
      </c>
    </row>
    <row r="9" spans="1:13" x14ac:dyDescent="0.35">
      <c r="A9" t="s">
        <v>10</v>
      </c>
      <c r="B9" s="6">
        <v>11</v>
      </c>
      <c r="C9" s="4">
        <v>9</v>
      </c>
      <c r="D9" t="s">
        <v>13</v>
      </c>
      <c r="F9" t="s">
        <v>36</v>
      </c>
      <c r="G9" s="16">
        <f>G7/2</f>
        <v>1282.0293920000004</v>
      </c>
    </row>
    <row r="10" spans="1:13" x14ac:dyDescent="0.35">
      <c r="A10" t="s">
        <v>11</v>
      </c>
      <c r="B10" s="6">
        <v>11</v>
      </c>
      <c r="C10" s="4">
        <v>10</v>
      </c>
      <c r="D10" t="s">
        <v>13</v>
      </c>
    </row>
    <row r="11" spans="1:13" x14ac:dyDescent="0.35">
      <c r="A11" t="s">
        <v>10</v>
      </c>
      <c r="B11" s="6">
        <v>11</v>
      </c>
      <c r="C11" s="4">
        <v>10</v>
      </c>
      <c r="D11" t="s">
        <v>13</v>
      </c>
    </row>
    <row r="12" spans="1:13" x14ac:dyDescent="0.35">
      <c r="A12" t="s">
        <v>12</v>
      </c>
      <c r="B12" s="6">
        <v>11</v>
      </c>
      <c r="C12" s="4">
        <v>10</v>
      </c>
      <c r="D12" t="s">
        <v>13</v>
      </c>
      <c r="J12" s="20"/>
    </row>
    <row r="13" spans="1:13" x14ac:dyDescent="0.35">
      <c r="A13" t="s">
        <v>20</v>
      </c>
      <c r="B13" s="6">
        <v>8</v>
      </c>
      <c r="C13" s="4">
        <v>8</v>
      </c>
      <c r="D13" t="s">
        <v>15</v>
      </c>
      <c r="F13">
        <f>G2+G4</f>
        <v>213</v>
      </c>
    </row>
    <row r="14" spans="1:13" x14ac:dyDescent="0.35">
      <c r="A14" t="s">
        <v>21</v>
      </c>
      <c r="B14" s="6">
        <v>8</v>
      </c>
      <c r="C14" s="4">
        <v>8</v>
      </c>
      <c r="D14" t="s">
        <v>15</v>
      </c>
      <c r="F14" s="17">
        <f>F13*G3</f>
        <v>394.05</v>
      </c>
      <c r="G14" s="7"/>
      <c r="H14" s="17"/>
    </row>
    <row r="15" spans="1:13" x14ac:dyDescent="0.35">
      <c r="A15" t="s">
        <v>22</v>
      </c>
      <c r="B15" s="6">
        <v>9</v>
      </c>
      <c r="C15" s="4">
        <v>8</v>
      </c>
      <c r="D15" t="s">
        <v>15</v>
      </c>
      <c r="F15" s="17">
        <f>F14-G6</f>
        <v>-6.5841850000000477</v>
      </c>
      <c r="H15" s="17"/>
      <c r="M15" s="7"/>
    </row>
    <row r="16" spans="1:13" x14ac:dyDescent="0.35">
      <c r="A16" t="s">
        <v>23</v>
      </c>
      <c r="B16" s="6">
        <v>17</v>
      </c>
      <c r="C16" s="4">
        <v>14</v>
      </c>
      <c r="D16" t="s">
        <v>15</v>
      </c>
    </row>
    <row r="17" spans="1:8" x14ac:dyDescent="0.35">
      <c r="A17" t="s">
        <v>24</v>
      </c>
      <c r="B17" s="6">
        <v>11</v>
      </c>
      <c r="C17" s="4">
        <v>10</v>
      </c>
      <c r="D17" t="s">
        <v>15</v>
      </c>
    </row>
    <row r="18" spans="1:8" x14ac:dyDescent="0.35">
      <c r="A18" t="s">
        <v>25</v>
      </c>
      <c r="B18" s="6">
        <v>10</v>
      </c>
      <c r="C18" s="4">
        <v>10</v>
      </c>
      <c r="D18" t="s">
        <v>15</v>
      </c>
      <c r="H18" s="1"/>
    </row>
    <row r="19" spans="1:8" x14ac:dyDescent="0.35">
      <c r="A19" t="s">
        <v>26</v>
      </c>
      <c r="B19" s="6">
        <v>13</v>
      </c>
      <c r="C19" s="4">
        <v>10</v>
      </c>
      <c r="D19" t="s">
        <v>15</v>
      </c>
    </row>
    <row r="20" spans="1:8" x14ac:dyDescent="0.35">
      <c r="A20" t="s">
        <v>16</v>
      </c>
      <c r="B20" s="6">
        <v>8</v>
      </c>
      <c r="C20" s="4">
        <v>8</v>
      </c>
      <c r="D20" t="s">
        <v>35</v>
      </c>
      <c r="F20" s="17">
        <f>0.77/100*F14+3.55</f>
        <v>6.5841849999999997</v>
      </c>
    </row>
    <row r="21" spans="1:8" x14ac:dyDescent="0.35">
      <c r="A21" t="s">
        <v>30</v>
      </c>
      <c r="B21" s="6">
        <v>2</v>
      </c>
      <c r="C21" s="4">
        <v>2</v>
      </c>
      <c r="D21" t="s">
        <v>17</v>
      </c>
      <c r="F21" s="19">
        <f>F20/F14</f>
        <v>1.6709009009009009E-2</v>
      </c>
    </row>
    <row r="22" spans="1:8" x14ac:dyDescent="0.35">
      <c r="A22" t="s">
        <v>31</v>
      </c>
      <c r="B22" s="6">
        <v>2</v>
      </c>
      <c r="C22" s="4">
        <v>2</v>
      </c>
      <c r="D22" t="s">
        <v>17</v>
      </c>
      <c r="H22" s="18"/>
    </row>
    <row r="23" spans="1:8" x14ac:dyDescent="0.35">
      <c r="A23" t="s">
        <v>32</v>
      </c>
      <c r="B23" s="6">
        <v>2</v>
      </c>
      <c r="C23" s="4">
        <v>2</v>
      </c>
      <c r="D23" t="s">
        <v>17</v>
      </c>
    </row>
    <row r="24" spans="1:8" x14ac:dyDescent="0.35">
      <c r="A24" t="s">
        <v>33</v>
      </c>
      <c r="B24" s="6">
        <v>9</v>
      </c>
      <c r="C24" s="4">
        <v>8</v>
      </c>
      <c r="D24" t="s">
        <v>17</v>
      </c>
    </row>
    <row r="25" spans="1:8" x14ac:dyDescent="0.35">
      <c r="A25" t="s">
        <v>34</v>
      </c>
      <c r="B25" s="6">
        <v>5</v>
      </c>
      <c r="C25" s="4">
        <v>5</v>
      </c>
      <c r="D25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Rodrigues Oviedo</dc:creator>
  <cp:lastModifiedBy>Vinícius Rodrigues Oviedo</cp:lastModifiedBy>
  <dcterms:created xsi:type="dcterms:W3CDTF">2026-01-03T11:50:16Z</dcterms:created>
  <dcterms:modified xsi:type="dcterms:W3CDTF">2026-01-05T11:42:52Z</dcterms:modified>
</cp:coreProperties>
</file>